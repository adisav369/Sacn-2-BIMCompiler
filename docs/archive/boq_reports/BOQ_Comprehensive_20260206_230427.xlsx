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Sheet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BOQ - ARC" sheetId="3" state="visible" r:id="rId3"/>
    <sheet xmlns:r="http://schemas.openxmlformats.org/officeDocument/2006/relationships" name="BOQ - ELEC" sheetId="4" state="visible" r:id="rId4"/>
    <sheet xmlns:r="http://schemas.openxmlformats.org/officeDocument/2006/relationships" name="BOQ - FP" sheetId="5" state="visible" r:id="rId5"/>
    <sheet xmlns:r="http://schemas.openxmlformats.org/officeDocument/2006/relationships" name="BOQ - STR" sheetId="6" state="visible" r:id="rId6"/>
    <sheet xmlns:r="http://schemas.openxmlformats.org/officeDocument/2006/relationships" name="Work Packages" sheetId="7" state="visible" r:id="rId7"/>
    <sheet xmlns:r="http://schemas.openxmlformats.org/officeDocument/2006/relationships" name="Provisional Sums" sheetId="8" state="visible" r:id="rId8"/>
    <sheet xmlns:r="http://schemas.openxmlformats.org/officeDocument/2006/relationships" name="Material Summary" sheetId="9" state="visible" r:id="rId9"/>
    <sheet xmlns:r="http://schemas.openxmlformats.org/officeDocument/2006/relationships" name="Labor Summary" sheetId="10" state="visible" r:id="rId10"/>
    <sheet xmlns:r="http://schemas.openxmlformats.org/officeDocument/2006/relationships" name="Equipment 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8">
    <font>
      <name val="Calibri"/>
      <family val="2"/>
      <color theme="1"/>
      <sz val="11"/>
      <scheme val="minor"/>
    </font>
    <font>
      <b val="1"/>
      <color rgb="00FFFFFF"/>
      <sz val="22"/>
    </font>
    <font>
      <b val="1"/>
      <sz val="14"/>
    </font>
    <font>
      <b val="1"/>
      <color rgb="00FFFFFF"/>
      <sz val="13"/>
    </font>
    <font>
      <b val="1"/>
      <color rgb="00FFFFFF"/>
      <sz val="12"/>
    </font>
    <font>
      <b val="1"/>
      <sz val="10"/>
    </font>
    <font>
      <i val="1"/>
      <sz val="9"/>
    </font>
    <font>
      <sz val="10"/>
    </font>
    <font>
      <b val="1"/>
      <color rgb="00FFFFFF"/>
      <sz val="16"/>
    </font>
    <font>
      <b val="1"/>
      <color rgb="00FFFFFF"/>
      <sz val="9"/>
    </font>
    <font>
      <b val="1"/>
      <sz val="11"/>
    </font>
    <font>
      <b val="1"/>
    </font>
    <font>
      <b val="1"/>
      <color rgb="00FFFFFF"/>
      <sz val="18"/>
    </font>
    <font>
      <i val="1"/>
      <color rgb="007F8C8D"/>
      <sz val="10"/>
    </font>
    <font>
      <b val="1"/>
      <color rgb="00FFFFFF"/>
      <sz val="10"/>
    </font>
    <font>
      <i val="1"/>
    </font>
    <font>
      <b val="1"/>
      <sz val="12"/>
    </font>
    <font>
      <b val="1"/>
      <color rgb="00FFFFFF"/>
    </font>
  </fonts>
  <fills count="1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FFFF"/>
        <bgColor rgb="00FFFFFF"/>
      </patternFill>
    </fill>
    <fill>
      <patternFill patternType="solid">
        <fgColor rgb="00FFC000"/>
        <bgColor rgb="00FFC000"/>
      </patternFill>
    </fill>
    <fill>
      <patternFill patternType="solid">
        <fgColor rgb="005B9BD5"/>
        <bgColor rgb="005B9BD5"/>
      </patternFill>
    </fill>
    <fill>
      <patternFill patternType="solid">
        <fgColor rgb="00C00000"/>
        <bgColor rgb="00C00000"/>
      </patternFill>
    </fill>
    <fill>
      <patternFill patternType="solid">
        <fgColor rgb="00FFFFCC"/>
        <bgColor rgb="00FFFFCC"/>
      </patternFill>
    </fill>
    <fill>
      <patternFill patternType="solid">
        <fgColor rgb="00ECF0F1"/>
        <bgColor rgb="00ECF0F1"/>
      </patternFill>
    </fill>
    <fill>
      <patternFill patternType="solid">
        <fgColor rgb="003498DB"/>
        <bgColor rgb="003498DB"/>
      </patternFill>
    </fill>
    <fill>
      <patternFill patternType="solid">
        <fgColor rgb="008E44AD"/>
        <bgColor rgb="008E44AD"/>
      </patternFill>
    </fill>
    <fill>
      <patternFill patternType="solid">
        <fgColor rgb="002980B9"/>
        <bgColor rgb="002980B9"/>
      </patternFill>
    </fill>
    <fill>
      <patternFill patternType="solid">
        <fgColor rgb="00D35400"/>
        <bgColor rgb="00D35400"/>
      </patternFill>
    </fill>
    <fill>
      <patternFill patternType="solid">
        <fgColor rgb="0027AE60"/>
        <bgColor rgb="0027AE60"/>
      </patternFill>
    </fill>
    <fill>
      <patternFill patternType="solid">
        <fgColor rgb="00C0392B"/>
        <bgColor rgb="00C0392B"/>
      </patternFill>
    </fill>
  </fills>
  <borders count="3">
    <border>
      <left/>
      <right/>
      <top/>
      <bottom/>
      <diagonal/>
    </border>
    <border>
      <bottom style="medium"/>
    </border>
    <border>
      <left style="thin">
        <color rgb="00D0D3D4"/>
      </left>
      <right style="thin">
        <color rgb="00D0D3D4"/>
      </right>
      <top style="thin">
        <color rgb="00D0D3D4"/>
      </top>
      <bottom style="thin">
        <color rgb="00D0D3D4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2" fillId="2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/>
    </xf>
    <xf numFmtId="4" fontId="0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0">
      <alignment horizontal="right"/>
    </xf>
    <xf numFmtId="4" fontId="10" fillId="8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0" fillId="10" borderId="0" pivotButton="0" quotePrefix="0" xfId="0"/>
    <xf numFmtId="4" fontId="0" fillId="10" borderId="0" pivotButton="0" quotePrefix="0" xfId="0"/>
    <xf numFmtId="4" fontId="0" fillId="9" borderId="0" pivotButton="0" quotePrefix="0" xfId="0"/>
    <xf numFmtId="0" fontId="10" fillId="0" borderId="0" applyAlignment="1" pivotButton="0" quotePrefix="0" xfId="0">
      <alignment horizontal="right"/>
    </xf>
    <xf numFmtId="4" fontId="11" fillId="4" borderId="0" pivotButton="0" quotePrefix="0" xfId="0"/>
    <xf numFmtId="4" fontId="11" fillId="6" borderId="0" pivotButton="0" quotePrefix="0" xfId="0"/>
    <xf numFmtId="4" fontId="11" fillId="7" borderId="0" pivotButton="0" quotePrefix="0" xfId="0"/>
    <xf numFmtId="4" fontId="11" fillId="8" borderId="0" pivotButton="0" quotePrefix="0" xfId="0"/>
    <xf numFmtId="0" fontId="12" fillId="11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3" fillId="12" borderId="0" applyAlignment="1" pivotButton="0" quotePrefix="0" xfId="0">
      <alignment horizontal="left" vertical="center"/>
    </xf>
    <xf numFmtId="0" fontId="9" fillId="3" borderId="2" applyAlignment="1" pivotButton="0" quotePrefix="0" xfId="0">
      <alignment horizontal="center" vertical="center"/>
    </xf>
    <xf numFmtId="0" fontId="0" fillId="0" borderId="2" pivotButton="0" quotePrefix="0" xfId="0"/>
    <xf numFmtId="4" fontId="0" fillId="0" borderId="2" pivotButton="0" quotePrefix="0" xfId="0"/>
    <xf numFmtId="3" fontId="0" fillId="0" borderId="2" pivotButton="0" quotePrefix="0" xfId="0"/>
    <xf numFmtId="3" fontId="5" fillId="10" borderId="2" pivotButton="0" quotePrefix="0" xfId="0"/>
    <xf numFmtId="0" fontId="3" fillId="13" borderId="0" applyAlignment="1" pivotButton="0" quotePrefix="0" xfId="0">
      <alignment horizontal="left" vertical="center"/>
    </xf>
    <xf numFmtId="0" fontId="3" fillId="14" borderId="0" applyAlignment="1" pivotButton="0" quotePrefix="0" xfId="0">
      <alignment horizontal="left" vertical="center"/>
    </xf>
    <xf numFmtId="0" fontId="3" fillId="15" borderId="0" applyAlignment="1" pivotButton="0" quotePrefix="0" xfId="0">
      <alignment horizontal="left" vertical="center"/>
    </xf>
    <xf numFmtId="0" fontId="3" fillId="16" borderId="0" applyAlignment="1" pivotButton="0" quotePrefix="0" xfId="0">
      <alignment horizontal="left" vertical="center"/>
    </xf>
    <xf numFmtId="0" fontId="8" fillId="12" borderId="0" applyAlignment="1" pivotButton="0" quotePrefix="0" xfId="0">
      <alignment horizontal="center"/>
    </xf>
    <xf numFmtId="0" fontId="9" fillId="5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8" fillId="4" borderId="0" applyAlignment="1" pivotButton="0" quotePrefix="0" xfId="0">
      <alignment horizontal="center"/>
    </xf>
    <xf numFmtId="0" fontId="17" fillId="3" borderId="0" applyAlignment="1" pivotButton="0" quotePrefix="0" xfId="0">
      <alignment horizontal="center"/>
    </xf>
    <xf numFmtId="0" fontId="8" fillId="6" borderId="0" applyAlignment="1" pivotButton="0" quotePrefix="0" xfId="0">
      <alignment horizontal="center"/>
    </xf>
    <xf numFmtId="164" fontId="0" fillId="0" borderId="0" pivotButton="0" quotePrefix="0" xfId="0"/>
    <xf numFmtId="0" fontId="8" fillId="7" borderId="0" applyAlignment="1" pivotButton="0" quotePrefix="0" xfId="0">
      <alignment horizontal="center"/>
    </xf>
  </cellXfs>
  <cellStyles count="1">
    <cellStyle name="Normal" xfId="0" builtinId="0" hidden="0"/>
  </cellStyles>
  <dxfs count="1">
    <dxf>
      <font>
        <b val="1"/>
      </font>
      <fill>
        <patternFill patternType="solid">
          <fgColor rgb="00FCF3CF"/>
          <bgColor rgb="00FCF3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Breakdown by Discipline</a:t>
            </a:r>
          </a:p>
        </rich>
      </tx>
    </title>
    <plotArea>
      <pieChart>
        <varyColors val="1"/>
        <ser>
          <idx val="0"/>
          <order val="0"/>
          <tx>
            <strRef>
              <f>'Executive Summary'!E3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Summary'!$A$4:$A$8</f>
            </numRef>
          </cat>
          <val>
            <numRef>
              <f>'Executive Summary'!$E$4:$E$8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Components by Discipline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Summary'!$A$4:$A$8</f>
            </numRef>
          </cat>
          <val>
            <numRef>
              <f>'Executive Summary'!$B$4:$B$8</f>
            </numRef>
          </val>
        </ser>
        <ser>
          <idx val="1"/>
          <order val="1"/>
          <tx>
            <strRef>
              <f>'Executive Summary'!C3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Summary'!$A$4:$A$8</f>
            </numRef>
          </cat>
          <val>
            <numRef>
              <f>'Executive Summary'!$C$4:$C$8</f>
            </numRef>
          </val>
        </ser>
        <ser>
          <idx val="2"/>
          <order val="2"/>
          <tx>
            <strRef>
              <f>'Executive Summary'!D3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Summary'!$A$4:$A$8</f>
            </numRef>
          </cat>
          <val>
            <numRef>
              <f>'Executive Summary'!$D$4:$D$8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Discipline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 (RM)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22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5" customWidth="1" min="3" max="3"/>
  </cols>
  <sheetData>
    <row r="1" ht="35" customHeight="1">
      <c r="A1" s="1" t="inlineStr">
        <is>
          <t>COMPREHENSIVE BILL OF QUANTITIES</t>
        </is>
      </c>
    </row>
    <row r="2">
      <c r="A2" s="2" t="inlineStr">
        <is>
          <t>Project: Terminal 1 Expansion Project</t>
        </is>
      </c>
    </row>
    <row r="5" ht="22" customHeight="1">
      <c r="A5" s="3" t="inlineStr">
        <is>
          <t>COST BREAKDOWN METHODOLOGY</t>
        </is>
      </c>
    </row>
    <row r="7">
      <c r="A7" s="4" t="inlineStr">
        <is>
          <t>1. MATERIAL COSTS</t>
        </is>
      </c>
    </row>
    <row r="8">
      <c r="A8" s="5" t="inlineStr">
        <is>
          <t>Source:</t>
        </is>
      </c>
      <c r="B8" t="inlineStr">
        <is>
          <t>CIDB National Construction Cost Centre (N3C) 2024</t>
        </is>
      </c>
      <c r="C8" s="6" t="inlineStr"/>
    </row>
    <row r="9">
      <c r="A9" s="5" t="inlineStr">
        <is>
          <t>Reference:</t>
        </is>
      </c>
      <c r="B9" t="inlineStr">
        <is>
          <t>BCISM Cost Book 2022-2024 (inflated +3%)</t>
        </is>
      </c>
      <c r="C9" s="6" t="inlineStr"/>
    </row>
    <row r="10">
      <c r="A10" s="7" t="inlineStr">
        <is>
          <t>Includes:</t>
        </is>
      </c>
      <c r="B10" t="inlineStr">
        <is>
          <t>Delivery, wastage allowance (5-10% by material type)</t>
        </is>
      </c>
      <c r="C10" s="6" t="inlineStr"/>
    </row>
    <row r="12">
      <c r="A12" s="4" t="inlineStr">
        <is>
          <t>2. LABOR COSTS</t>
        </is>
      </c>
    </row>
    <row r="13">
      <c r="A13" s="5" t="inlineStr">
        <is>
          <t>Source:</t>
        </is>
      </c>
      <c r="B13" t="inlineStr">
        <is>
          <t>MBAM-CIDB Labour Wage Survey 2024</t>
        </is>
      </c>
      <c r="C13" s="6" t="inlineStr"/>
    </row>
    <row r="14">
      <c r="A14" s="5" t="inlineStr">
        <is>
          <t>Basis:</t>
        </is>
      </c>
      <c r="B14" t="inlineStr">
        <is>
          <t>Basic wage + 30% (EPF 13%, SOCSO 2%, benefits 15%)</t>
        </is>
      </c>
      <c r="C14" s="6" t="inlineStr"/>
    </row>
    <row r="15">
      <c r="A15" s="7" t="inlineStr">
        <is>
          <t>Productivity:</t>
        </is>
      </c>
      <c r="B15" t="inlineStr">
        <is>
          <t>CIDB productivity standards by trade</t>
        </is>
      </c>
      <c r="C15" s="6" t="inlineStr"/>
    </row>
    <row r="16">
      <c r="A16" s="7" t="inlineStr">
        <is>
          <t>Crew Composition:</t>
        </is>
      </c>
      <c r="B16" t="inlineStr">
        <is>
          <t>Skilled workers + helpers as per trade standards</t>
        </is>
      </c>
      <c r="C16" s="6" t="inlineStr"/>
    </row>
    <row r="18">
      <c r="A18" s="4" t="inlineStr">
        <is>
          <t>3. EQUIPMENT/PLANT HIRE</t>
        </is>
      </c>
    </row>
    <row r="19">
      <c r="A19" s="5" t="inlineStr">
        <is>
          <t>Source:</t>
        </is>
      </c>
      <c r="B19" t="inlineStr">
        <is>
          <t>CIDB N3C Machinery Hire Rates 2024</t>
        </is>
      </c>
      <c r="C19" s="6" t="inlineStr"/>
    </row>
    <row r="20">
      <c r="A20" s="7" t="inlineStr">
        <is>
          <t>Allocation:</t>
        </is>
      </c>
      <c r="B20" t="inlineStr">
        <is>
          <t>Based on work type and duration requirements</t>
        </is>
      </c>
      <c r="C20" s="6" t="inlineStr"/>
    </row>
    <row r="21">
      <c r="A21" s="7" t="inlineStr">
        <is>
          <t>Rates:</t>
        </is>
      </c>
      <c r="B21" t="inlineStr">
        <is>
          <t>Per day (8 hours), operator cost included where stated</t>
        </is>
      </c>
      <c r="C21" s="6" t="inlineStr"/>
    </row>
    <row r="23" ht="22" customHeight="1">
      <c r="A23" s="3" t="inlineStr">
        <is>
          <t>COST SUMMARY STRUCTURE</t>
        </is>
      </c>
    </row>
    <row r="24">
      <c r="A24" s="7" t="inlineStr">
        <is>
          <t>Sheet 1:</t>
        </is>
      </c>
      <c r="B24" t="inlineStr">
        <is>
          <t>Cover Sheet (this page)</t>
        </is>
      </c>
      <c r="C24" s="6" t="inlineStr"/>
    </row>
    <row r="25">
      <c r="A25" s="7" t="inlineStr">
        <is>
          <t>Sheet 2:</t>
        </is>
      </c>
      <c r="B25" t="inlineStr">
        <is>
          <t>Executive Summary - Total costs with charts</t>
        </is>
      </c>
      <c r="C25" s="6" t="inlineStr"/>
    </row>
    <row r="26">
      <c r="A26" s="7" t="inlineStr">
        <is>
          <t>Sheet 3:</t>
        </is>
      </c>
      <c r="B26" t="inlineStr">
        <is>
          <t>Materials Cost Summary</t>
        </is>
      </c>
      <c r="C26" s="6" t="inlineStr">
        <is>
          <t>Detailed material breakdown</t>
        </is>
      </c>
    </row>
    <row r="27">
      <c r="A27" s="7" t="inlineStr">
        <is>
          <t>Sheet 4:</t>
        </is>
      </c>
      <c r="B27" t="inlineStr">
        <is>
          <t>Labor Cost Summary</t>
        </is>
      </c>
      <c r="C27" s="6" t="inlineStr">
        <is>
          <t>Crew allocation &amp; man-days</t>
        </is>
      </c>
    </row>
    <row r="28">
      <c r="A28" s="7" t="inlineStr">
        <is>
          <t>Sheet 5:</t>
        </is>
      </c>
      <c r="B28" t="inlineStr">
        <is>
          <t>Equipment Cost Summary</t>
        </is>
      </c>
      <c r="C28" s="6" t="inlineStr">
        <is>
          <t>Plant hire requirements</t>
        </is>
      </c>
    </row>
    <row r="29">
      <c r="A29" s="7" t="inlineStr">
        <is>
          <t>Sheet 6+:</t>
        </is>
      </c>
      <c r="B29" t="inlineStr">
        <is>
          <t>Detailed BOQ by Discipline</t>
        </is>
      </c>
      <c r="C29" s="6" t="inlineStr">
        <is>
          <t>Line-by-line analysis</t>
        </is>
      </c>
    </row>
    <row r="31" ht="22" customHeight="1">
      <c r="A31" s="3" t="inlineStr">
        <is>
          <t>PRICING STANDARDS &amp; REFERENCES</t>
        </is>
      </c>
    </row>
    <row r="32">
      <c r="A32" s="7" t="inlineStr">
        <is>
          <t>BOQ Format:</t>
        </is>
      </c>
      <c r="B32" t="inlineStr">
        <is>
          <t>PWD Form 203A Malaysia</t>
        </is>
      </c>
      <c r="C32" s="6" t="inlineStr"/>
    </row>
    <row r="33">
      <c r="A33" s="7" t="inlineStr">
        <is>
          <t>Measurement:</t>
        </is>
      </c>
      <c r="B33" t="inlineStr">
        <is>
          <t>SMM2 (Standard Method of Measurement)</t>
        </is>
      </c>
      <c r="C33" s="6" t="inlineStr"/>
    </row>
    <row r="34">
      <c r="A34" s="7" t="inlineStr">
        <is>
          <t>Pricing Date:</t>
        </is>
      </c>
      <c r="B34" t="inlineStr">
        <is>
          <t>Q4 2024</t>
        </is>
      </c>
      <c r="C34" s="6" t="inlineStr"/>
    </row>
    <row r="35">
      <c r="A35" s="7" t="inlineStr">
        <is>
          <t>Currency:</t>
        </is>
      </c>
      <c r="B35" t="inlineStr">
        <is>
          <t>Malaysian Ringgit (RM)</t>
        </is>
      </c>
      <c r="C35" s="6" t="inlineStr"/>
    </row>
    <row r="36">
      <c r="A36" s="7" t="inlineStr">
        <is>
          <t>Validity:</t>
        </is>
      </c>
      <c r="B36" t="inlineStr">
        <is>
          <t>60 days from date of issue</t>
        </is>
      </c>
      <c r="C36" s="6" t="inlineStr"/>
    </row>
    <row r="38" ht="22" customHeight="1">
      <c r="A38" s="3" t="inlineStr">
        <is>
          <t>EXCLUSIONS</t>
        </is>
      </c>
    </row>
    <row r="39">
      <c r="A39" s="7" t="inlineStr">
        <is>
          <t>• GST/SST (apply as per prevailing tax law)</t>
        </is>
      </c>
    </row>
    <row r="40">
      <c r="A40" s="7" t="inlineStr">
        <is>
          <t>• Preliminary &amp; General items (add 8-12%)</t>
        </is>
      </c>
    </row>
    <row r="41">
      <c r="A41" s="7" t="inlineStr">
        <is>
          <t>• Profit &amp; attendance (add 10-15%)</t>
        </is>
      </c>
    </row>
    <row r="42">
      <c r="A42" s="7" t="inlineStr">
        <is>
          <t>• Escalation beyond 60 days</t>
        </is>
      </c>
    </row>
    <row r="43">
      <c r="A43" s="7" t="inlineStr">
        <is>
          <t>• Site-specific conditions not shown in drawings</t>
        </is>
      </c>
    </row>
  </sheetData>
  <mergeCells count="9">
    <mergeCell ref="A38:F38"/>
    <mergeCell ref="A2:F2"/>
    <mergeCell ref="A1:F1"/>
    <mergeCell ref="A5:F5"/>
    <mergeCell ref="A23:F23"/>
    <mergeCell ref="A31:F31"/>
    <mergeCell ref="A12:F12"/>
    <mergeCell ref="A18:F18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0" customWidth="1" min="5" max="5"/>
  </cols>
  <sheetData>
    <row r="1" ht="30" customHeight="1">
      <c r="A1" s="8" t="inlineStr">
        <is>
          <t>EXECUTIVE SUMMARY</t>
        </is>
      </c>
    </row>
    <row r="3">
      <c r="A3" s="9" t="inlineStr">
        <is>
          <t>Discipline</t>
        </is>
      </c>
      <c r="B3" s="9" t="inlineStr">
        <is>
          <t>Material (RM)</t>
        </is>
      </c>
      <c r="C3" s="9" t="inlineStr">
        <is>
          <t>Labor (RM)</t>
        </is>
      </c>
      <c r="D3" s="9" t="inlineStr">
        <is>
          <t>Equipment (RM)</t>
        </is>
      </c>
      <c r="E3" s="9" t="inlineStr">
        <is>
          <t>TOTAL (RM)</t>
        </is>
      </c>
    </row>
    <row r="4">
      <c r="A4" t="inlineStr">
        <is>
          <t>ARC</t>
        </is>
      </c>
      <c r="B4" s="10">
        <f>'BOQ - ARC'!F8</f>
        <v/>
      </c>
      <c r="C4" s="10">
        <f>'BOQ - ARC'!G8</f>
        <v/>
      </c>
      <c r="D4" s="10">
        <f>'BOQ - ARC'!H8</f>
        <v/>
      </c>
      <c r="E4" s="10">
        <f>'BOQ - ARC'!I8</f>
        <v/>
      </c>
    </row>
    <row r="5">
      <c r="A5" t="inlineStr">
        <is>
          <t>ELEC</t>
        </is>
      </c>
      <c r="B5" s="10">
        <f>'BOQ - ELEC'!F7</f>
        <v/>
      </c>
      <c r="C5" s="10">
        <f>'BOQ - ELEC'!G7</f>
        <v/>
      </c>
      <c r="D5" s="10">
        <f>'BOQ - ELEC'!H7</f>
        <v/>
      </c>
      <c r="E5" s="10">
        <f>'BOQ - ELEC'!I7</f>
        <v/>
      </c>
    </row>
    <row r="6">
      <c r="A6" t="inlineStr">
        <is>
          <t>FP</t>
        </is>
      </c>
      <c r="B6" s="10">
        <f>'BOQ - FP'!F6</f>
        <v/>
      </c>
      <c r="C6" s="10">
        <f>'BOQ - FP'!G6</f>
        <v/>
      </c>
      <c r="D6" s="10">
        <f>'BOQ - FP'!H6</f>
        <v/>
      </c>
      <c r="E6" s="10">
        <f>'BOQ - FP'!I6</f>
        <v/>
      </c>
    </row>
    <row r="7">
      <c r="A7" t="inlineStr">
        <is>
          <t>STR</t>
        </is>
      </c>
      <c r="B7" s="10">
        <f>'BOQ - STR'!F8</f>
        <v/>
      </c>
      <c r="C7" s="10">
        <f>'BOQ - STR'!G8</f>
        <v/>
      </c>
      <c r="D7" s="10">
        <f>'BOQ - STR'!H8</f>
        <v/>
      </c>
      <c r="E7" s="10">
        <f>'BOQ - STR'!I8</f>
        <v/>
      </c>
    </row>
    <row r="8">
      <c r="A8" s="11" t="inlineStr">
        <is>
          <t>FINISHES &amp; FITTINGS</t>
        </is>
      </c>
      <c r="B8" t="inlineStr"/>
      <c r="C8" t="inlineStr"/>
      <c r="D8" t="inlineStr"/>
      <c r="E8" s="10">
        <f>'Provisional Sums'!G16</f>
        <v/>
      </c>
    </row>
    <row r="10" ht="25" customHeight="1">
      <c r="A10" s="12" t="inlineStr">
        <is>
          <t>GRAND TOTAL</t>
        </is>
      </c>
      <c r="B10" s="13">
        <f>SUM(B4:B8)</f>
        <v/>
      </c>
      <c r="C10" s="13">
        <f>SUM(C4:C8)</f>
        <v/>
      </c>
      <c r="D10" s="13">
        <f>SUM(D4:D8)</f>
        <v/>
      </c>
      <c r="E10" s="13">
        <f>SUM(E4:E8)</f>
        <v/>
      </c>
    </row>
  </sheetData>
  <mergeCells count="2">
    <mergeCell ref="A1:F1"/>
    <mergeCell ref="A10"/>
  </mergeCells>
  <conditionalFormatting sqref="E4:E8">
    <cfRule type="dataBar" priority="1">
      <dataBar>
        <cfvo type="min" val="0"/>
        <cfvo type="max" val="100"/>
        <color rgb="004472C4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8" customWidth="1" min="4" max="4"/>
    <col width="15" customWidth="1" min="5" max="5"/>
    <col width="18" customWidth="1" min="6" max="6"/>
    <col width="16" customWidth="1" min="7" max="7"/>
    <col width="18" customWidth="1" min="8" max="8"/>
    <col width="18" customWidth="1" min="9" max="9"/>
  </cols>
  <sheetData>
    <row r="1" ht="25" customHeight="1">
      <c r="A1" s="14" t="inlineStr">
        <is>
          <t>DETAILED BOQ - ARC</t>
        </is>
      </c>
    </row>
    <row r="3" ht="30" customHeight="1">
      <c r="A3" s="15" t="inlineStr">
        <is>
          <t>Item</t>
        </is>
      </c>
      <c r="B3" s="15" t="inlineStr">
        <is>
          <t>Description</t>
        </is>
      </c>
      <c r="C3" s="15" t="inlineStr">
        <is>
          <t>Qty</t>
        </is>
      </c>
      <c r="D3" s="15" t="inlineStr">
        <is>
          <t>UOM</t>
        </is>
      </c>
      <c r="E3" s="16" t="inlineStr">
        <is>
          <t>Material
Rate (RM)</t>
        </is>
      </c>
      <c r="F3" s="16" t="inlineStr">
        <is>
          <t>Material
Cost (RM)</t>
        </is>
      </c>
      <c r="G3" s="17" t="inlineStr">
        <is>
          <t>Labor
Cost (RM)</t>
        </is>
      </c>
      <c r="H3" s="18" t="inlineStr">
        <is>
          <t>Equipment
Cost (RM)</t>
        </is>
      </c>
      <c r="I3" s="19" t="inlineStr">
        <is>
          <t>Total (RM)</t>
        </is>
      </c>
    </row>
    <row r="4">
      <c r="A4" s="20" t="inlineStr">
        <is>
          <t>001</t>
        </is>
      </c>
      <c r="B4" s="20" t="inlineStr">
        <is>
          <t>Metal Deck Roofing with Insulation</t>
        </is>
      </c>
      <c r="C4" s="21" t="n">
        <v>1348.5</v>
      </c>
      <c r="D4" s="20" t="inlineStr">
        <is>
          <t>M2</t>
        </is>
      </c>
      <c r="E4" s="21" t="n">
        <v>238</v>
      </c>
      <c r="F4" s="21">
        <f>C4*E4</f>
        <v/>
      </c>
      <c r="G4" s="21" t="n">
        <v>0</v>
      </c>
      <c r="H4" s="21" t="n">
        <v>0</v>
      </c>
      <c r="I4" s="21">
        <f>F4+G4+H4</f>
        <v/>
      </c>
    </row>
    <row r="5">
      <c r="A5" t="inlineStr">
        <is>
          <t>002</t>
        </is>
      </c>
      <c r="B5" t="inlineStr">
        <is>
          <t>Door Set - Airport Grade</t>
        </is>
      </c>
      <c r="C5" s="10" t="n">
        <v>75</v>
      </c>
      <c r="D5" t="inlineStr">
        <is>
          <t>EA</t>
        </is>
      </c>
      <c r="E5" s="22" t="n">
        <v>2850</v>
      </c>
      <c r="F5" s="10">
        <f>C5*E5</f>
        <v/>
      </c>
      <c r="G5" s="10" t="n">
        <v>0</v>
      </c>
      <c r="H5" s="10" t="n">
        <v>0</v>
      </c>
      <c r="I5" s="10">
        <f>F5+G5+H5</f>
        <v/>
      </c>
    </row>
    <row r="6">
      <c r="A6" s="20" t="inlineStr">
        <is>
          <t>003</t>
        </is>
      </c>
      <c r="B6" s="20" t="inlineStr">
        <is>
          <t>Aluminum Window - Airport Spec</t>
        </is>
      </c>
      <c r="C6" s="21" t="n">
        <v>10</v>
      </c>
      <c r="D6" s="20" t="inlineStr">
        <is>
          <t>EA</t>
        </is>
      </c>
      <c r="E6" s="21" t="n">
        <v>1580</v>
      </c>
      <c r="F6" s="21">
        <f>C6*E6</f>
        <v/>
      </c>
      <c r="G6" s="21" t="n">
        <v>0</v>
      </c>
      <c r="H6" s="21" t="n">
        <v>0</v>
      </c>
      <c r="I6" s="21">
        <f>F6+G6+H6</f>
        <v/>
      </c>
    </row>
    <row r="8" ht="22" customHeight="1">
      <c r="A8" s="23" t="inlineStr">
        <is>
          <t>TOTAL - ARC</t>
        </is>
      </c>
      <c r="F8" s="24">
        <f>SUM(F4:F6)</f>
        <v/>
      </c>
      <c r="G8" s="25">
        <f>SUM(G4:G6)</f>
        <v/>
      </c>
      <c r="H8" s="26">
        <f>SUM(H4:H6)</f>
        <v/>
      </c>
      <c r="I8" s="27">
        <f>SUM(I4:I6)</f>
        <v/>
      </c>
    </row>
  </sheetData>
  <mergeCells count="2">
    <mergeCell ref="A1:K1"/>
    <mergeCell ref="A8:E8"/>
  </mergeCells>
  <conditionalFormatting sqref="I4:I6">
    <cfRule type="cellIs" priority="1" operator="greaterThan" dxfId="0">
      <formula>50000</formula>
    </cfRule>
  </conditionalFormatting>
  <dataValidations count="1">
    <dataValidation sqref="E4:E6" showDropDown="0" showInputMessage="0" showErrorMessage="0" allowBlank="0" errorTitle="Invalid Rate" error="Material rate must be greater than 0" type="decimal" operator="greaterThan">
      <formula1>0</formula1>
    </dataValidation>
  </dataValidations>
  <printOptions horizontalCentered="1" gridLines="0"/>
  <pageMargins left="0.75" right="0.75" top="1" bottom="1" header="0.5" footer="0.5"/>
  <pageSetup orientation="landscape" paperSize="9" fitToWidth="1"/>
  <headerFooter>
    <oddHeader>&amp;CBOQ - ARC</oddHeader>
    <oddFooter>&amp;LTerminal 1 Expansion Project&amp;CPage &amp;P of &amp;N&amp;RGenerated: 06/02/2026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8" customWidth="1" min="4" max="4"/>
    <col width="15" customWidth="1" min="5" max="5"/>
    <col width="18" customWidth="1" min="6" max="6"/>
    <col width="16" customWidth="1" min="7" max="7"/>
    <col width="18" customWidth="1" min="8" max="8"/>
    <col width="18" customWidth="1" min="9" max="9"/>
  </cols>
  <sheetData>
    <row r="1" ht="25" customHeight="1">
      <c r="A1" s="14" t="inlineStr">
        <is>
          <t>DETAILED BOQ - ELEC</t>
        </is>
      </c>
    </row>
    <row r="3" ht="30" customHeight="1">
      <c r="A3" s="15" t="inlineStr">
        <is>
          <t>Item</t>
        </is>
      </c>
      <c r="B3" s="15" t="inlineStr">
        <is>
          <t>Description</t>
        </is>
      </c>
      <c r="C3" s="15" t="inlineStr">
        <is>
          <t>Qty</t>
        </is>
      </c>
      <c r="D3" s="15" t="inlineStr">
        <is>
          <t>UOM</t>
        </is>
      </c>
      <c r="E3" s="16" t="inlineStr">
        <is>
          <t>Material
Rate (RM)</t>
        </is>
      </c>
      <c r="F3" s="16" t="inlineStr">
        <is>
          <t>Material
Cost (RM)</t>
        </is>
      </c>
      <c r="G3" s="17" t="inlineStr">
        <is>
          <t>Labor
Cost (RM)</t>
        </is>
      </c>
      <c r="H3" s="18" t="inlineStr">
        <is>
          <t>Equipment
Cost (RM)</t>
        </is>
      </c>
      <c r="I3" s="19" t="inlineStr">
        <is>
          <t>Total (RM)</t>
        </is>
      </c>
    </row>
    <row r="4">
      <c r="A4" s="20" t="inlineStr">
        <is>
          <t>001</t>
        </is>
      </c>
      <c r="B4" s="20" t="inlineStr">
        <is>
          <t>LED Light Fixture - Airport Grade</t>
        </is>
      </c>
      <c r="C4" s="21" t="n">
        <v>51</v>
      </c>
      <c r="D4" s="20" t="inlineStr">
        <is>
          <t>EA</t>
        </is>
      </c>
      <c r="E4" s="21" t="n">
        <v>485</v>
      </c>
      <c r="F4" s="21">
        <f>C4*E4</f>
        <v/>
      </c>
      <c r="G4" s="21" t="n">
        <v>892.4999999999999</v>
      </c>
      <c r="H4" s="21" t="n">
        <v>0</v>
      </c>
      <c r="I4" s="21">
        <f>F4+G4+H4</f>
        <v/>
      </c>
    </row>
    <row r="5">
      <c r="A5" t="inlineStr">
        <is>
          <t>002</t>
        </is>
      </c>
      <c r="B5" t="inlineStr">
        <is>
          <t>13A Power Outlet - Airport Spec</t>
        </is>
      </c>
      <c r="C5" s="10" t="n">
        <v>22</v>
      </c>
      <c r="D5" t="inlineStr">
        <is>
          <t>EA</t>
        </is>
      </c>
      <c r="E5" s="22" t="n">
        <v>125</v>
      </c>
      <c r="F5" s="10">
        <f>C5*E5</f>
        <v/>
      </c>
      <c r="G5" s="10" t="n">
        <v>308</v>
      </c>
      <c r="H5" s="10" t="n">
        <v>0</v>
      </c>
      <c r="I5" s="10">
        <f>F5+G5+H5</f>
        <v/>
      </c>
    </row>
    <row r="7" ht="22" customHeight="1">
      <c r="A7" s="23" t="inlineStr">
        <is>
          <t>TOTAL - ELEC</t>
        </is>
      </c>
      <c r="F7" s="24">
        <f>SUM(F4:F5)</f>
        <v/>
      </c>
      <c r="G7" s="25">
        <f>SUM(G4:G5)</f>
        <v/>
      </c>
      <c r="H7" s="26">
        <f>SUM(H4:H5)</f>
        <v/>
      </c>
      <c r="I7" s="27">
        <f>SUM(I4:I5)</f>
        <v/>
      </c>
    </row>
  </sheetData>
  <mergeCells count="2">
    <mergeCell ref="A1:K1"/>
    <mergeCell ref="A7:E7"/>
  </mergeCells>
  <conditionalFormatting sqref="I4:I5">
    <cfRule type="cellIs" priority="1" operator="greaterThan" dxfId="0">
      <formula>50000</formula>
    </cfRule>
  </conditionalFormatting>
  <dataValidations count="1">
    <dataValidation sqref="E4:E5" showDropDown="0" showInputMessage="0" showErrorMessage="0" allowBlank="0" errorTitle="Invalid Rate" error="Material rate must be greater than 0" type="decimal" operator="greaterThan">
      <formula1>0</formula1>
    </dataValidation>
  </dataValidations>
  <printOptions horizontalCentered="1" gridLines="0"/>
  <pageMargins left="0.75" right="0.75" top="1" bottom="1" header="0.5" footer="0.5"/>
  <pageSetup orientation="landscape" paperSize="9" fitToWidth="1"/>
  <headerFooter>
    <oddHeader>&amp;CBOQ - ELEC</oddHeader>
    <oddFooter>&amp;LTerminal 1 Expansion Project&amp;CPage &amp;P of &amp;N&amp;RGenerated: 06/02/2026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8" customWidth="1" min="4" max="4"/>
    <col width="15" customWidth="1" min="5" max="5"/>
    <col width="18" customWidth="1" min="6" max="6"/>
    <col width="16" customWidth="1" min="7" max="7"/>
    <col width="18" customWidth="1" min="8" max="8"/>
    <col width="18" customWidth="1" min="9" max="9"/>
  </cols>
  <sheetData>
    <row r="1" ht="25" customHeight="1">
      <c r="A1" s="14" t="inlineStr">
        <is>
          <t>DETAILED BOQ - FP</t>
        </is>
      </c>
    </row>
    <row r="3" ht="30" customHeight="1">
      <c r="A3" s="15" t="inlineStr">
        <is>
          <t>Item</t>
        </is>
      </c>
      <c r="B3" s="15" t="inlineStr">
        <is>
          <t>Description</t>
        </is>
      </c>
      <c r="C3" s="15" t="inlineStr">
        <is>
          <t>Qty</t>
        </is>
      </c>
      <c r="D3" s="15" t="inlineStr">
        <is>
          <t>UOM</t>
        </is>
      </c>
      <c r="E3" s="16" t="inlineStr">
        <is>
          <t>Material
Rate (RM)</t>
        </is>
      </c>
      <c r="F3" s="16" t="inlineStr">
        <is>
          <t>Material
Cost (RM)</t>
        </is>
      </c>
      <c r="G3" s="17" t="inlineStr">
        <is>
          <t>Labor
Cost (RM)</t>
        </is>
      </c>
      <c r="H3" s="18" t="inlineStr">
        <is>
          <t>Equipment
Cost (RM)</t>
        </is>
      </c>
      <c r="I3" s="19" t="inlineStr">
        <is>
          <t>Total (RM)</t>
        </is>
      </c>
    </row>
    <row r="4">
      <c r="A4" s="20" t="inlineStr">
        <is>
          <t>001</t>
        </is>
      </c>
      <c r="B4" s="20" t="inlineStr">
        <is>
          <t>Pipe Segment</t>
        </is>
      </c>
      <c r="C4" s="21" t="n">
        <v>2094.45</v>
      </c>
      <c r="D4" s="20" t="inlineStr">
        <is>
          <t>M</t>
        </is>
      </c>
      <c r="E4" s="21" t="n">
        <v>48.5</v>
      </c>
      <c r="F4" s="21">
        <f>C4*E4</f>
        <v/>
      </c>
      <c r="G4" s="21" t="n">
        <v>27646.74</v>
      </c>
      <c r="H4" s="21" t="n">
        <v>0</v>
      </c>
      <c r="I4" s="21">
        <f>F4+G4+H4</f>
        <v/>
      </c>
    </row>
    <row r="6" ht="22" customHeight="1">
      <c r="A6" s="23" t="inlineStr">
        <is>
          <t>TOTAL - FP</t>
        </is>
      </c>
      <c r="F6" s="24">
        <f>SUM(F4:F4)</f>
        <v/>
      </c>
      <c r="G6" s="25">
        <f>SUM(G4:G4)</f>
        <v/>
      </c>
      <c r="H6" s="26">
        <f>SUM(H4:H4)</f>
        <v/>
      </c>
      <c r="I6" s="27">
        <f>SUM(I4:I4)</f>
        <v/>
      </c>
    </row>
  </sheetData>
  <mergeCells count="2">
    <mergeCell ref="A6:E6"/>
    <mergeCell ref="A1:K1"/>
  </mergeCells>
  <conditionalFormatting sqref="I4">
    <cfRule type="cellIs" priority="1" operator="greaterThan" dxfId="0">
      <formula>50000</formula>
    </cfRule>
  </conditionalFormatting>
  <dataValidations count="1">
    <dataValidation sqref="E4" showDropDown="0" showInputMessage="0" showErrorMessage="0" allowBlank="0" errorTitle="Invalid Rate" error="Material rate must be greater than 0" type="decimal" operator="greaterThan">
      <formula1>0</formula1>
    </dataValidation>
  </dataValidations>
  <printOptions horizontalCentered="1" gridLines="0"/>
  <pageMargins left="0.75" right="0.75" top="1" bottom="1" header="0.5" footer="0.5"/>
  <pageSetup orientation="landscape" paperSize="9" fitToWidth="1"/>
  <headerFooter>
    <oddHeader>&amp;CBOQ - FP</oddHeader>
    <oddFooter>&amp;LTerminal 1 Expansion Project&amp;CPage &amp;P of &amp;N&amp;RGenerated: 06/02/2026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8" customWidth="1" min="4" max="4"/>
    <col width="15" customWidth="1" min="5" max="5"/>
    <col width="18" customWidth="1" min="6" max="6"/>
    <col width="16" customWidth="1" min="7" max="7"/>
    <col width="18" customWidth="1" min="8" max="8"/>
    <col width="18" customWidth="1" min="9" max="9"/>
  </cols>
  <sheetData>
    <row r="1" ht="25" customHeight="1">
      <c r="A1" s="14" t="inlineStr">
        <is>
          <t>DETAILED BOQ - STR</t>
        </is>
      </c>
    </row>
    <row r="3" ht="30" customHeight="1">
      <c r="A3" s="15" t="inlineStr">
        <is>
          <t>Item</t>
        </is>
      </c>
      <c r="B3" s="15" t="inlineStr">
        <is>
          <t>Description</t>
        </is>
      </c>
      <c r="C3" s="15" t="inlineStr">
        <is>
          <t>Qty</t>
        </is>
      </c>
      <c r="D3" s="15" t="inlineStr">
        <is>
          <t>UOM</t>
        </is>
      </c>
      <c r="E3" s="16" t="inlineStr">
        <is>
          <t>Material
Rate (RM)</t>
        </is>
      </c>
      <c r="F3" s="16" t="inlineStr">
        <is>
          <t>Material
Cost (RM)</t>
        </is>
      </c>
      <c r="G3" s="17" t="inlineStr">
        <is>
          <t>Labor
Cost (RM)</t>
        </is>
      </c>
      <c r="H3" s="18" t="inlineStr">
        <is>
          <t>Equipment
Cost (RM)</t>
        </is>
      </c>
      <c r="I3" s="19" t="inlineStr">
        <is>
          <t>Total (RM)</t>
        </is>
      </c>
    </row>
    <row r="4">
      <c r="A4" s="20" t="inlineStr">
        <is>
          <t>001</t>
        </is>
      </c>
      <c r="B4" s="20" t="inlineStr">
        <is>
          <t>IfcSpace</t>
        </is>
      </c>
      <c r="C4" s="21" t="n">
        <v>21777</v>
      </c>
      <c r="D4" s="20" t="inlineStr">
        <is>
          <t>M3</t>
        </is>
      </c>
      <c r="E4" s="21" t="n">
        <v>0</v>
      </c>
      <c r="F4" s="21">
        <f>C4*E4</f>
        <v/>
      </c>
      <c r="G4" s="21" t="n">
        <v>0</v>
      </c>
      <c r="H4" s="21" t="n">
        <v>0</v>
      </c>
      <c r="I4" s="21">
        <f>F4+G4+H4</f>
        <v/>
      </c>
    </row>
    <row r="5">
      <c r="A5" t="inlineStr">
        <is>
          <t>002</t>
        </is>
      </c>
      <c r="B5" t="inlineStr">
        <is>
          <t>RC Slab - Airport Grade (250mm)</t>
        </is>
      </c>
      <c r="C5" s="10" t="n">
        <v>8608.68</v>
      </c>
      <c r="D5" t="inlineStr">
        <is>
          <t>M2</t>
        </is>
      </c>
      <c r="E5" s="22" t="n">
        <v>285</v>
      </c>
      <c r="F5" s="10">
        <f>C5*E5</f>
        <v/>
      </c>
      <c r="G5" s="10" t="n">
        <v>213987.1885714286</v>
      </c>
      <c r="H5" s="10" t="n">
        <v>70099.25142857141</v>
      </c>
      <c r="I5" s="10">
        <f>F5+G5+H5</f>
        <v/>
      </c>
    </row>
    <row r="6">
      <c r="A6" s="20" t="inlineStr">
        <is>
          <t>003</t>
        </is>
      </c>
      <c r="B6" s="20" t="inlineStr">
        <is>
          <t>Structural Steel Column - Airport Spec</t>
        </is>
      </c>
      <c r="C6" s="21" t="n">
        <v>336</v>
      </c>
      <c r="D6" s="20" t="inlineStr">
        <is>
          <t>M</t>
        </is>
      </c>
      <c r="E6" s="21" t="n">
        <v>1250</v>
      </c>
      <c r="F6" s="21">
        <f>C6*E6</f>
        <v/>
      </c>
      <c r="G6" s="21" t="n">
        <v>43680</v>
      </c>
      <c r="H6" s="21" t="n">
        <v>51800</v>
      </c>
      <c r="I6" s="21">
        <f>F6+G6+H6</f>
        <v/>
      </c>
    </row>
    <row r="8" ht="22" customHeight="1">
      <c r="A8" s="23" t="inlineStr">
        <is>
          <t>TOTAL - STR</t>
        </is>
      </c>
      <c r="F8" s="24">
        <f>SUM(F4:F6)</f>
        <v/>
      </c>
      <c r="G8" s="25">
        <f>SUM(G4:G6)</f>
        <v/>
      </c>
      <c r="H8" s="26">
        <f>SUM(H4:H6)</f>
        <v/>
      </c>
      <c r="I8" s="27">
        <f>SUM(I4:I6)</f>
        <v/>
      </c>
    </row>
  </sheetData>
  <mergeCells count="2">
    <mergeCell ref="A1:K1"/>
    <mergeCell ref="A8:E8"/>
  </mergeCells>
  <conditionalFormatting sqref="I4:I6">
    <cfRule type="cellIs" priority="1" operator="greaterThan" dxfId="0">
      <formula>50000</formula>
    </cfRule>
  </conditionalFormatting>
  <dataValidations count="1">
    <dataValidation sqref="E4:E6" showDropDown="0" showInputMessage="0" showErrorMessage="0" allowBlank="0" errorTitle="Invalid Rate" error="Material rate must be greater than 0" type="decimal" operator="greaterThan">
      <formula1>0</formula1>
    </dataValidation>
  </dataValidations>
  <printOptions horizontalCentered="1" gridLines="0"/>
  <pageMargins left="0.75" right="0.75" top="1" bottom="1" header="0.5" footer="0.5"/>
  <pageSetup orientation="landscape" paperSize="9" fitToWidth="1"/>
  <headerFooter>
    <oddHeader>&amp;CBOQ - STR</oddHeader>
    <oddFooter>&amp;LTerminal 1 Expansion Project&amp;CPage &amp;P of &amp;N&amp;RGenerated: 06/02/2026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8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 ht="30" customHeight="1">
      <c r="A1" s="28" t="inlineStr">
        <is>
          <t>WORK PACKAGES - CONSTRUCTION PHASING</t>
        </is>
      </c>
    </row>
    <row r="2">
      <c r="A2" s="29" t="inlineStr">
        <is>
          <t>Organized by typical construction sequence for scheduling</t>
        </is>
      </c>
    </row>
    <row r="4" ht="25" customHeight="1">
      <c r="A4" s="30" t="inlineStr">
        <is>
          <t>PACKAGE 1: SUBSTRUCTURE</t>
        </is>
      </c>
    </row>
    <row r="5">
      <c r="A5" s="31" t="inlineStr">
        <is>
          <t>Discipline</t>
        </is>
      </c>
      <c r="B5" s="31" t="inlineStr">
        <is>
          <t>Element Type</t>
        </is>
      </c>
      <c r="C5" s="31" t="inlineStr">
        <is>
          <t>Quantity</t>
        </is>
      </c>
      <c r="D5" s="31" t="inlineStr">
        <is>
          <t>UOM</t>
        </is>
      </c>
      <c r="E5" s="31" t="inlineStr">
        <is>
          <t>Material</t>
        </is>
      </c>
      <c r="F5" s="31" t="inlineStr">
        <is>
          <t>Labor</t>
        </is>
      </c>
      <c r="G5" s="31" t="inlineStr">
        <is>
          <t>Equipment</t>
        </is>
      </c>
      <c r="H5" s="31" t="inlineStr">
        <is>
          <t>Total (RM)</t>
        </is>
      </c>
    </row>
    <row r="6">
      <c r="A6" s="32" t="inlineStr">
        <is>
          <t>STR</t>
        </is>
      </c>
      <c r="B6" s="32" t="inlineStr">
        <is>
          <t>IfcColumn</t>
        </is>
      </c>
      <c r="C6" s="33" t="n">
        <v>336</v>
      </c>
      <c r="D6" s="32" t="inlineStr">
        <is>
          <t>M</t>
        </is>
      </c>
      <c r="E6" s="34" t="n">
        <v>420000</v>
      </c>
      <c r="F6" s="34" t="n">
        <v>43680</v>
      </c>
      <c r="G6" s="34" t="n">
        <v>51800</v>
      </c>
      <c r="H6" s="34" t="n">
        <v>515480</v>
      </c>
    </row>
    <row r="7">
      <c r="A7" s="5" t="inlineStr">
        <is>
          <t>SUBTOTAL - SUBSTRUCTURE</t>
        </is>
      </c>
      <c r="E7" s="35">
        <f>SUM(E6:E6)</f>
        <v/>
      </c>
      <c r="F7" s="35">
        <f>SUM(F6:F6)</f>
        <v/>
      </c>
      <c r="G7" s="35">
        <f>SUM(G6:G6)</f>
        <v/>
      </c>
      <c r="H7" s="35">
        <f>SUM(H6:H6)</f>
        <v/>
      </c>
    </row>
    <row r="9" ht="25" customHeight="1">
      <c r="A9" s="36" t="inlineStr">
        <is>
          <t>PACKAGE 2: SUPERSTRUCTURE</t>
        </is>
      </c>
    </row>
    <row r="10">
      <c r="A10" s="31" t="inlineStr">
        <is>
          <t>Discipline</t>
        </is>
      </c>
      <c r="B10" s="31" t="inlineStr">
        <is>
          <t>Element Type</t>
        </is>
      </c>
      <c r="C10" s="31" t="inlineStr">
        <is>
          <t>Quantity</t>
        </is>
      </c>
      <c r="D10" s="31" t="inlineStr">
        <is>
          <t>UOM</t>
        </is>
      </c>
      <c r="E10" s="31" t="inlineStr">
        <is>
          <t>Material</t>
        </is>
      </c>
      <c r="F10" s="31" t="inlineStr">
        <is>
          <t>Labor</t>
        </is>
      </c>
      <c r="G10" s="31" t="inlineStr">
        <is>
          <t>Equipment</t>
        </is>
      </c>
      <c r="H10" s="31" t="inlineStr">
        <is>
          <t>Total (RM)</t>
        </is>
      </c>
    </row>
    <row r="11">
      <c r="A11" s="32" t="inlineStr">
        <is>
          <t>ARC</t>
        </is>
      </c>
      <c r="B11" s="32" t="inlineStr">
        <is>
          <t>IfcRoof</t>
        </is>
      </c>
      <c r="C11" s="33" t="n">
        <v>1348.5</v>
      </c>
      <c r="D11" s="32" t="inlineStr">
        <is>
          <t>M2</t>
        </is>
      </c>
      <c r="E11" s="34" t="n">
        <v>320943</v>
      </c>
      <c r="F11" s="34" t="n">
        <v>0</v>
      </c>
      <c r="G11" s="34" t="n">
        <v>0</v>
      </c>
      <c r="H11" s="34" t="n">
        <v>320943</v>
      </c>
    </row>
    <row r="12">
      <c r="A12" s="32" t="inlineStr">
        <is>
          <t>STR</t>
        </is>
      </c>
      <c r="B12" s="32" t="inlineStr">
        <is>
          <t>IfcSlab</t>
        </is>
      </c>
      <c r="C12" s="33" t="n">
        <v>8608.68</v>
      </c>
      <c r="D12" s="32" t="inlineStr">
        <is>
          <t>M2</t>
        </is>
      </c>
      <c r="E12" s="34" t="n">
        <v>2453473.8</v>
      </c>
      <c r="F12" s="34" t="n">
        <v>213987.1885714286</v>
      </c>
      <c r="G12" s="34" t="n">
        <v>70099.25142857141</v>
      </c>
      <c r="H12" s="34" t="n">
        <v>2737560.24</v>
      </c>
    </row>
    <row r="13">
      <c r="A13" s="5" t="inlineStr">
        <is>
          <t>SUBTOTAL - SUPERSTRUCTURE</t>
        </is>
      </c>
      <c r="E13" s="35">
        <f>SUM(E11:E12)</f>
        <v/>
      </c>
      <c r="F13" s="35">
        <f>SUM(F11:F12)</f>
        <v/>
      </c>
      <c r="G13" s="35">
        <f>SUM(G11:G12)</f>
        <v/>
      </c>
      <c r="H13" s="35">
        <f>SUM(H11:H12)</f>
        <v/>
      </c>
    </row>
    <row r="15" ht="25" customHeight="1">
      <c r="A15" s="37" t="inlineStr">
        <is>
          <t>PACKAGE 3: MEP ROUGH-IN</t>
        </is>
      </c>
    </row>
    <row r="16">
      <c r="A16" s="31" t="inlineStr">
        <is>
          <t>Discipline</t>
        </is>
      </c>
      <c r="B16" s="31" t="inlineStr">
        <is>
          <t>Element Type</t>
        </is>
      </c>
      <c r="C16" s="31" t="inlineStr">
        <is>
          <t>Quantity</t>
        </is>
      </c>
      <c r="D16" s="31" t="inlineStr">
        <is>
          <t>UOM</t>
        </is>
      </c>
      <c r="E16" s="31" t="inlineStr">
        <is>
          <t>Material</t>
        </is>
      </c>
      <c r="F16" s="31" t="inlineStr">
        <is>
          <t>Labor</t>
        </is>
      </c>
      <c r="G16" s="31" t="inlineStr">
        <is>
          <t>Equipment</t>
        </is>
      </c>
      <c r="H16" s="31" t="inlineStr">
        <is>
          <t>Total (RM)</t>
        </is>
      </c>
    </row>
    <row r="17">
      <c r="A17" s="32" t="inlineStr">
        <is>
          <t>FP</t>
        </is>
      </c>
      <c r="B17" s="32" t="inlineStr">
        <is>
          <t>IfcPipeSegment</t>
        </is>
      </c>
      <c r="C17" s="33" t="n">
        <v>2094.45</v>
      </c>
      <c r="D17" s="32" t="inlineStr">
        <is>
          <t>M</t>
        </is>
      </c>
      <c r="E17" s="34" t="n">
        <v>101580.825</v>
      </c>
      <c r="F17" s="34" t="n">
        <v>27646.74</v>
      </c>
      <c r="G17" s="34" t="n">
        <v>0</v>
      </c>
      <c r="H17" s="34" t="n">
        <v>129227.565</v>
      </c>
    </row>
    <row r="18">
      <c r="A18" s="5" t="inlineStr">
        <is>
          <t>SUBTOTAL - MEP ROUGH-IN</t>
        </is>
      </c>
      <c r="E18" s="35">
        <f>SUM(E17:E17)</f>
        <v/>
      </c>
      <c r="F18" s="35">
        <f>SUM(F17:F17)</f>
        <v/>
      </c>
      <c r="G18" s="35">
        <f>SUM(G17:G17)</f>
        <v/>
      </c>
      <c r="H18" s="35">
        <f>SUM(H17:H17)</f>
        <v/>
      </c>
    </row>
    <row r="20" ht="25" customHeight="1">
      <c r="A20" s="38" t="inlineStr">
        <is>
          <t>PACKAGE 4: FINISHES</t>
        </is>
      </c>
    </row>
    <row r="21">
      <c r="A21" s="31" t="inlineStr">
        <is>
          <t>Discipline</t>
        </is>
      </c>
      <c r="B21" s="31" t="inlineStr">
        <is>
          <t>Element Type</t>
        </is>
      </c>
      <c r="C21" s="31" t="inlineStr">
        <is>
          <t>Quantity</t>
        </is>
      </c>
      <c r="D21" s="31" t="inlineStr">
        <is>
          <t>UOM</t>
        </is>
      </c>
      <c r="E21" s="31" t="inlineStr">
        <is>
          <t>Material</t>
        </is>
      </c>
      <c r="F21" s="31" t="inlineStr">
        <is>
          <t>Labor</t>
        </is>
      </c>
      <c r="G21" s="31" t="inlineStr">
        <is>
          <t>Equipment</t>
        </is>
      </c>
      <c r="H21" s="31" t="inlineStr">
        <is>
          <t>Total (RM)</t>
        </is>
      </c>
    </row>
    <row r="22">
      <c r="A22" s="32" t="inlineStr">
        <is>
          <t>ARC</t>
        </is>
      </c>
      <c r="B22" s="32" t="inlineStr">
        <is>
          <t>IfcDoor</t>
        </is>
      </c>
      <c r="C22" s="33" t="n">
        <v>75</v>
      </c>
      <c r="D22" s="32" t="inlineStr">
        <is>
          <t>EA</t>
        </is>
      </c>
      <c r="E22" s="34" t="n">
        <v>213750</v>
      </c>
      <c r="F22" s="34" t="n">
        <v>0</v>
      </c>
      <c r="G22" s="34" t="n">
        <v>0</v>
      </c>
      <c r="H22" s="34" t="n">
        <v>213750</v>
      </c>
    </row>
    <row r="23">
      <c r="A23" s="32" t="inlineStr">
        <is>
          <t>ARC</t>
        </is>
      </c>
      <c r="B23" s="32" t="inlineStr">
        <is>
          <t>IfcWindow</t>
        </is>
      </c>
      <c r="C23" s="33" t="n">
        <v>10</v>
      </c>
      <c r="D23" s="32" t="inlineStr">
        <is>
          <t>EA</t>
        </is>
      </c>
      <c r="E23" s="34" t="n">
        <v>15800</v>
      </c>
      <c r="F23" s="34" t="n">
        <v>0</v>
      </c>
      <c r="G23" s="34" t="n">
        <v>0</v>
      </c>
      <c r="H23" s="34" t="n">
        <v>15800</v>
      </c>
    </row>
    <row r="24">
      <c r="A24" s="5" t="inlineStr">
        <is>
          <t>SUBTOTAL - FINISHES</t>
        </is>
      </c>
      <c r="E24" s="35">
        <f>SUM(E22:E23)</f>
        <v/>
      </c>
      <c r="F24" s="35">
        <f>SUM(F22:F23)</f>
        <v/>
      </c>
      <c r="G24" s="35">
        <f>SUM(G22:G23)</f>
        <v/>
      </c>
      <c r="H24" s="35">
        <f>SUM(H22:H23)</f>
        <v/>
      </c>
    </row>
    <row r="26" ht="25" customHeight="1">
      <c r="A26" s="39" t="inlineStr">
        <is>
          <t>PACKAGE 5: MEP FINAL FIX</t>
        </is>
      </c>
    </row>
    <row r="27">
      <c r="A27" s="31" t="inlineStr">
        <is>
          <t>Discipline</t>
        </is>
      </c>
      <c r="B27" s="31" t="inlineStr">
        <is>
          <t>Element Type</t>
        </is>
      </c>
      <c r="C27" s="31" t="inlineStr">
        <is>
          <t>Quantity</t>
        </is>
      </c>
      <c r="D27" s="31" t="inlineStr">
        <is>
          <t>UOM</t>
        </is>
      </c>
      <c r="E27" s="31" t="inlineStr">
        <is>
          <t>Material</t>
        </is>
      </c>
      <c r="F27" s="31" t="inlineStr">
        <is>
          <t>Labor</t>
        </is>
      </c>
      <c r="G27" s="31" t="inlineStr">
        <is>
          <t>Equipment</t>
        </is>
      </c>
      <c r="H27" s="31" t="inlineStr">
        <is>
          <t>Total (RM)</t>
        </is>
      </c>
    </row>
    <row r="28">
      <c r="A28" s="32" t="inlineStr">
        <is>
          <t>ELEC</t>
        </is>
      </c>
      <c r="B28" s="32" t="inlineStr">
        <is>
          <t>IfcLightFixture</t>
        </is>
      </c>
      <c r="C28" s="33" t="n">
        <v>51</v>
      </c>
      <c r="D28" s="32" t="inlineStr">
        <is>
          <t>EA</t>
        </is>
      </c>
      <c r="E28" s="34" t="n">
        <v>24735</v>
      </c>
      <c r="F28" s="34" t="n">
        <v>892.4999999999999</v>
      </c>
      <c r="G28" s="34" t="n">
        <v>0</v>
      </c>
      <c r="H28" s="34" t="n">
        <v>25627.5</v>
      </c>
    </row>
    <row r="29">
      <c r="A29" s="32" t="inlineStr">
        <is>
          <t>ELEC</t>
        </is>
      </c>
      <c r="B29" s="32" t="inlineStr">
        <is>
          <t>IfcOutlet</t>
        </is>
      </c>
      <c r="C29" s="33" t="n">
        <v>22</v>
      </c>
      <c r="D29" s="32" t="inlineStr">
        <is>
          <t>EA</t>
        </is>
      </c>
      <c r="E29" s="34" t="n">
        <v>2750</v>
      </c>
      <c r="F29" s="34" t="n">
        <v>308</v>
      </c>
      <c r="G29" s="34" t="n">
        <v>0</v>
      </c>
      <c r="H29" s="34" t="n">
        <v>3058</v>
      </c>
    </row>
    <row r="30">
      <c r="A30" s="5" t="inlineStr">
        <is>
          <t>SUBTOTAL - MEP FINAL FIX</t>
        </is>
      </c>
      <c r="E30" s="35">
        <f>SUM(E28:E29)</f>
        <v/>
      </c>
      <c r="F30" s="35">
        <f>SUM(F28:F29)</f>
        <v/>
      </c>
      <c r="G30" s="35">
        <f>SUM(G28:G29)</f>
        <v/>
      </c>
      <c r="H30" s="35">
        <f>SUM(H28:H29)</f>
        <v/>
      </c>
    </row>
  </sheetData>
  <mergeCells count="12">
    <mergeCell ref="A9:H9"/>
    <mergeCell ref="A4:H4"/>
    <mergeCell ref="A18:D18"/>
    <mergeCell ref="A26:H26"/>
    <mergeCell ref="A15:H15"/>
    <mergeCell ref="A20:H20"/>
    <mergeCell ref="A2:H2"/>
    <mergeCell ref="A30:D30"/>
    <mergeCell ref="A7:D7"/>
    <mergeCell ref="A24:D24"/>
    <mergeCell ref="A1:H1"/>
    <mergeCell ref="A13:D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12" customWidth="1" min="3" max="3"/>
    <col width="8" customWidth="1" min="4" max="4"/>
    <col width="15" customWidth="1" min="5" max="5"/>
    <col width="15" customWidth="1" min="6" max="6"/>
    <col width="18" customWidth="1" min="7" max="7"/>
  </cols>
  <sheetData>
    <row r="1" ht="25" customHeight="1">
      <c r="A1" s="40" t="inlineStr">
        <is>
          <t>PROVISIONAL SUMS - FINISHES &amp; FITTINGS</t>
        </is>
      </c>
    </row>
    <row r="2">
      <c r="A2" s="6" t="inlineStr">
        <is>
          <t>Items not explicitly modeled in BIM - calculated from built-up areas</t>
        </is>
      </c>
    </row>
    <row r="4" ht="30" customHeight="1">
      <c r="A4" s="41" t="inlineStr">
        <is>
          <t>Item</t>
        </is>
      </c>
      <c r="B4" s="41" t="inlineStr">
        <is>
          <t>Description</t>
        </is>
      </c>
      <c r="C4" s="41" t="inlineStr">
        <is>
          <t>Qty</t>
        </is>
      </c>
      <c r="D4" s="41" t="inlineStr">
        <is>
          <t>UOM</t>
        </is>
      </c>
      <c r="E4" s="42" t="inlineStr">
        <is>
          <t>Material
Rate (RM)</t>
        </is>
      </c>
      <c r="F4" s="43" t="inlineStr">
        <is>
          <t>Labor
Rate (RM)</t>
        </is>
      </c>
      <c r="G4" s="44" t="inlineStr">
        <is>
          <t>Total (RM)</t>
        </is>
      </c>
    </row>
    <row r="5" ht="35" customHeight="1">
      <c r="A5" t="inlineStr">
        <is>
          <t>P1</t>
        </is>
      </c>
      <c r="B5" s="45" t="inlineStr">
        <is>
          <t>Painting - Walls and Ceilings
(Dulux/Nippon 2 coats emulsion, primer, preparation)</t>
        </is>
      </c>
      <c r="C5" s="10" t="n">
        <v>0</v>
      </c>
      <c r="D5" t="inlineStr">
        <is>
          <t>M2</t>
        </is>
      </c>
      <c r="E5" s="22" t="n">
        <v>8.5</v>
      </c>
      <c r="F5" s="22" t="n">
        <v>12</v>
      </c>
      <c r="G5" s="10">
        <f>C5*(E5+F5)</f>
        <v/>
      </c>
    </row>
    <row r="6" ht="35" customHeight="1">
      <c r="A6" t="inlineStr">
        <is>
          <t>P2</t>
        </is>
      </c>
      <c r="B6" s="45" t="inlineStr">
        <is>
          <t>Check-in Counters &amp; Service Desks
(Solid surface, modular system, cable mgmt, branding)</t>
        </is>
      </c>
      <c r="C6" s="10" t="n">
        <v>15</v>
      </c>
      <c r="D6" t="inlineStr">
        <is>
          <t>EA</t>
        </is>
      </c>
      <c r="E6" s="22" t="n">
        <v>12500</v>
      </c>
      <c r="F6" s="22" t="n">
        <v>2500</v>
      </c>
      <c r="G6" s="10">
        <f>C6*(E6+F6)</f>
        <v/>
      </c>
    </row>
    <row r="7" ht="35" customHeight="1">
      <c r="A7" t="inlineStr">
        <is>
          <t>P3</t>
        </is>
      </c>
      <c r="B7" s="45" t="inlineStr">
        <is>
          <t>Passenger Seating - Waiting Areas
(Airport beam seating, 3-4 seater units, steel frame)</t>
        </is>
      </c>
      <c r="C7" s="10" t="n">
        <v>250</v>
      </c>
      <c r="D7" t="inlineStr">
        <is>
          <t>EA</t>
        </is>
      </c>
      <c r="E7" s="22" t="n">
        <v>580</v>
      </c>
      <c r="F7" s="22" t="n">
        <v>45</v>
      </c>
      <c r="G7" s="10">
        <f>C7*(E7+F7)</f>
        <v/>
      </c>
    </row>
    <row r="8" ht="35" customHeight="1">
      <c r="A8" t="inlineStr">
        <is>
          <t>P4</t>
        </is>
      </c>
      <c r="B8" s="45" t="inlineStr">
        <is>
          <t>Wayfinding Signage System
(Illuminated, bilingual, airport pictograms)</t>
        </is>
      </c>
      <c r="C8" s="10" t="n">
        <v>80</v>
      </c>
      <c r="D8" t="inlineStr">
        <is>
          <t>EA</t>
        </is>
      </c>
      <c r="E8" s="22" t="n">
        <v>650</v>
      </c>
      <c r="F8" s="22" t="n">
        <v>120</v>
      </c>
      <c r="G8" s="10">
        <f>C8*(E8+F8)</f>
        <v/>
      </c>
    </row>
    <row r="9" ht="35" customHeight="1">
      <c r="A9" t="inlineStr">
        <is>
          <t>P5</t>
        </is>
      </c>
      <c r="B9" s="45" t="inlineStr">
        <is>
          <t>Flight Information Display Systems (FIDS)
(55" LED, networked, real-time updates)</t>
        </is>
      </c>
      <c r="C9" s="10" t="n">
        <v>25</v>
      </c>
      <c r="D9" t="inlineStr">
        <is>
          <t>EA</t>
        </is>
      </c>
      <c r="E9" s="22" t="n">
        <v>8500</v>
      </c>
      <c r="F9" s="22" t="n">
        <v>1200</v>
      </c>
      <c r="G9" s="10">
        <f>C9*(E9+F9)</f>
        <v/>
      </c>
    </row>
    <row r="10" ht="35" customHeight="1">
      <c r="A10" t="inlineStr">
        <is>
          <t>P6</t>
        </is>
      </c>
      <c r="B10" s="45" t="inlineStr">
        <is>
          <t>Baggage Trolley Storage Racks
(Stainless steel, capacity 30 trolleys each)</t>
        </is>
      </c>
      <c r="C10" s="10" t="n">
        <v>12</v>
      </c>
      <c r="D10" t="inlineStr">
        <is>
          <t>EA</t>
        </is>
      </c>
      <c r="E10" s="22" t="n">
        <v>1850</v>
      </c>
      <c r="F10" s="22" t="n">
        <v>350</v>
      </c>
      <c r="G10" s="10">
        <f>C10*(E10+F10)</f>
        <v/>
      </c>
    </row>
    <row r="11" ht="35" customHeight="1">
      <c r="A11" t="inlineStr">
        <is>
          <t>P7</t>
        </is>
      </c>
      <c r="B11" s="45" t="inlineStr">
        <is>
          <t>Retail Kiosk Fit-outs (Shell)
(Structural frame, services rough-in, ready for tenant)</t>
        </is>
      </c>
      <c r="C11" s="10" t="n">
        <v>8</v>
      </c>
      <c r="D11" t="inlineStr">
        <is>
          <t>EA</t>
        </is>
      </c>
      <c r="E11" s="22" t="n">
        <v>22000</v>
      </c>
      <c r="F11" s="22" t="n">
        <v>5500</v>
      </c>
      <c r="G11" s="10">
        <f>C11*(E11+F11)</f>
        <v/>
      </c>
    </row>
    <row r="12" ht="35" customHeight="1">
      <c r="A12" t="inlineStr">
        <is>
          <t>P8</t>
        </is>
      </c>
      <c r="B12" s="45" t="inlineStr">
        <is>
          <t>Rubber Safety Flooring - High Traffic
(Anti-slip, heavy duty, transition zones)</t>
        </is>
      </c>
      <c r="C12" s="10" t="n">
        <v>1291.302</v>
      </c>
      <c r="D12" t="inlineStr">
        <is>
          <t>M2</t>
        </is>
      </c>
      <c r="E12" s="22" t="n">
        <v>95</v>
      </c>
      <c r="F12" s="22" t="n">
        <v>28</v>
      </c>
      <c r="G12" s="10">
        <f>C12*(E12+F12)</f>
        <v/>
      </c>
    </row>
    <row r="13" ht="35" customHeight="1">
      <c r="A13" t="inlineStr">
        <is>
          <t>P9</t>
        </is>
      </c>
      <c r="B13" s="45" t="inlineStr">
        <is>
          <t>Acoustic Ceiling Panels - Special Areas
(High absorption, Class A, fire-rated)</t>
        </is>
      </c>
      <c r="C13" s="10" t="n">
        <v>1721.736</v>
      </c>
      <c r="D13" t="inlineStr">
        <is>
          <t>M2</t>
        </is>
      </c>
      <c r="E13" s="22" t="n">
        <v>135</v>
      </c>
      <c r="F13" s="22" t="n">
        <v>42</v>
      </c>
      <c r="G13" s="10">
        <f>C13*(E13+F13)</f>
        <v/>
      </c>
    </row>
    <row r="14" ht="35" customHeight="1">
      <c r="A14" t="inlineStr">
        <is>
          <t>P10</t>
        </is>
      </c>
      <c r="B14" s="45" t="inlineStr">
        <is>
          <t>Bollards &amp; Barriers - Security
(Fixed/removable, stainless steel, crash-rated)</t>
        </is>
      </c>
      <c r="C14" s="10" t="n">
        <v>45</v>
      </c>
      <c r="D14" t="inlineStr">
        <is>
          <t>EA</t>
        </is>
      </c>
      <c r="E14" s="22" t="n">
        <v>1250</v>
      </c>
      <c r="F14" s="22" t="n">
        <v>280</v>
      </c>
      <c r="G14" s="10">
        <f>C14*(E14+F14)</f>
        <v/>
      </c>
    </row>
    <row r="16" ht="25" customHeight="1">
      <c r="A16" s="23" t="inlineStr">
        <is>
          <t>TOTAL PROVISIONAL SUMS</t>
        </is>
      </c>
      <c r="G16" s="13">
        <f>SUM(G5:G14)</f>
        <v/>
      </c>
    </row>
  </sheetData>
  <mergeCells count="3">
    <mergeCell ref="A2:F2"/>
    <mergeCell ref="A16:F16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2" customWidth="1" min="3" max="3"/>
    <col width="8" customWidth="1" min="4" max="4"/>
    <col width="16" customWidth="1" min="5" max="5"/>
    <col width="20" customWidth="1" min="6" max="6"/>
  </cols>
  <sheetData>
    <row r="1" ht="25" customHeight="1">
      <c r="A1" s="46" t="inlineStr">
        <is>
          <t>MATERIAL COST SUMMARY</t>
        </is>
      </c>
    </row>
    <row r="3">
      <c r="A3" s="47" t="inlineStr">
        <is>
          <t>Discipline</t>
        </is>
      </c>
      <c r="B3" s="47" t="inlineStr">
        <is>
          <t>IFC Class</t>
        </is>
      </c>
      <c r="C3" s="47" t="inlineStr">
        <is>
          <t>Quantity</t>
        </is>
      </c>
      <c r="D3" s="47" t="inlineStr">
        <is>
          <t>UOM</t>
        </is>
      </c>
      <c r="E3" s="47" t="inlineStr">
        <is>
          <t>Unit Rate (RM)</t>
        </is>
      </c>
      <c r="F3" s="47" t="inlineStr">
        <is>
          <t>Total Material (RM)</t>
        </is>
      </c>
    </row>
    <row r="4">
      <c r="A4" t="inlineStr">
        <is>
          <t>ARC</t>
        </is>
      </c>
      <c r="B4" t="inlineStr">
        <is>
          <t>IfcRoof</t>
        </is>
      </c>
      <c r="C4" s="10" t="n">
        <v>1348.5</v>
      </c>
      <c r="D4" t="inlineStr">
        <is>
          <t>M2</t>
        </is>
      </c>
      <c r="E4" s="10" t="n">
        <v>238</v>
      </c>
      <c r="F4" s="10" t="n">
        <v>320943</v>
      </c>
    </row>
    <row r="5">
      <c r="A5" t="inlineStr">
        <is>
          <t>ARC</t>
        </is>
      </c>
      <c r="B5" t="inlineStr">
        <is>
          <t>IfcDoor</t>
        </is>
      </c>
      <c r="C5" s="10" t="n">
        <v>75</v>
      </c>
      <c r="D5" t="inlineStr">
        <is>
          <t>EA</t>
        </is>
      </c>
      <c r="E5" s="10" t="n">
        <v>2850</v>
      </c>
      <c r="F5" s="10" t="n">
        <v>213750</v>
      </c>
    </row>
    <row r="6">
      <c r="A6" t="inlineStr">
        <is>
          <t>ARC</t>
        </is>
      </c>
      <c r="B6" t="inlineStr">
        <is>
          <t>IfcWindow</t>
        </is>
      </c>
      <c r="C6" s="10" t="n">
        <v>10</v>
      </c>
      <c r="D6" t="inlineStr">
        <is>
          <t>EA</t>
        </is>
      </c>
      <c r="E6" s="10" t="n">
        <v>1580</v>
      </c>
      <c r="F6" s="10" t="n">
        <v>15800</v>
      </c>
    </row>
    <row r="7">
      <c r="A7" t="inlineStr">
        <is>
          <t>ELEC</t>
        </is>
      </c>
      <c r="B7" t="inlineStr">
        <is>
          <t>IfcLightFixture</t>
        </is>
      </c>
      <c r="C7" s="10" t="n">
        <v>51</v>
      </c>
      <c r="D7" t="inlineStr">
        <is>
          <t>EA</t>
        </is>
      </c>
      <c r="E7" s="10" t="n">
        <v>485</v>
      </c>
      <c r="F7" s="10" t="n">
        <v>24735</v>
      </c>
    </row>
    <row r="8">
      <c r="A8" t="inlineStr">
        <is>
          <t>ELEC</t>
        </is>
      </c>
      <c r="B8" t="inlineStr">
        <is>
          <t>IfcOutlet</t>
        </is>
      </c>
      <c r="C8" s="10" t="n">
        <v>22</v>
      </c>
      <c r="D8" t="inlineStr">
        <is>
          <t>EA</t>
        </is>
      </c>
      <c r="E8" s="10" t="n">
        <v>125</v>
      </c>
      <c r="F8" s="10" t="n">
        <v>2750</v>
      </c>
    </row>
    <row r="9">
      <c r="A9" t="inlineStr">
        <is>
          <t>FP</t>
        </is>
      </c>
      <c r="B9" t="inlineStr">
        <is>
          <t>IfcPipeSegment</t>
        </is>
      </c>
      <c r="C9" s="10" t="n">
        <v>2094.45</v>
      </c>
      <c r="D9" t="inlineStr">
        <is>
          <t>M</t>
        </is>
      </c>
      <c r="E9" s="10" t="n">
        <v>48.5</v>
      </c>
      <c r="F9" s="10" t="n">
        <v>101580.825</v>
      </c>
    </row>
    <row r="10">
      <c r="A10" t="inlineStr">
        <is>
          <t>STR</t>
        </is>
      </c>
      <c r="B10" t="inlineStr">
        <is>
          <t>IfcSpace</t>
        </is>
      </c>
      <c r="C10" s="10" t="n">
        <v>21777</v>
      </c>
      <c r="D10" t="inlineStr">
        <is>
          <t>M3</t>
        </is>
      </c>
      <c r="E10" s="10" t="n">
        <v>0</v>
      </c>
      <c r="F10" s="10" t="n">
        <v>0</v>
      </c>
    </row>
    <row r="11">
      <c r="A11" t="inlineStr">
        <is>
          <t>STR</t>
        </is>
      </c>
      <c r="B11" t="inlineStr">
        <is>
          <t>IfcSlab</t>
        </is>
      </c>
      <c r="C11" s="10" t="n">
        <v>8608.68</v>
      </c>
      <c r="D11" t="inlineStr">
        <is>
          <t>M2</t>
        </is>
      </c>
      <c r="E11" s="10" t="n">
        <v>285</v>
      </c>
      <c r="F11" s="10" t="n">
        <v>2453473.8</v>
      </c>
    </row>
    <row r="12">
      <c r="A12" t="inlineStr">
        <is>
          <t>STR</t>
        </is>
      </c>
      <c r="B12" t="inlineStr">
        <is>
          <t>IfcColumn</t>
        </is>
      </c>
      <c r="C12" s="10" t="n">
        <v>336</v>
      </c>
      <c r="D12" t="inlineStr">
        <is>
          <t>M</t>
        </is>
      </c>
      <c r="E12" s="10" t="n">
        <v>1250</v>
      </c>
      <c r="F12" s="10" t="n">
        <v>420000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2" customWidth="1" min="3" max="3"/>
    <col width="8" customWidth="1" min="4" max="4"/>
    <col width="30" customWidth="1" min="5" max="5"/>
    <col width="10" customWidth="1" min="6" max="6"/>
    <col width="12" customWidth="1" min="7" max="7"/>
    <col width="18" customWidth="1" min="8" max="8"/>
  </cols>
  <sheetData>
    <row r="1" ht="25" customHeight="1">
      <c r="A1" s="48" t="inlineStr">
        <is>
          <t>LABOR COST &amp; CREW ALLOCATION SUMMARY</t>
        </is>
      </c>
    </row>
    <row r="3">
      <c r="A3" s="47" t="inlineStr">
        <is>
          <t>Discipline</t>
        </is>
      </c>
      <c r="B3" s="47" t="inlineStr">
        <is>
          <t>IFC Class</t>
        </is>
      </c>
      <c r="C3" s="47" t="inlineStr">
        <is>
          <t>Quantity</t>
        </is>
      </c>
      <c r="D3" s="47" t="inlineStr">
        <is>
          <t>UOM</t>
        </is>
      </c>
      <c r="E3" s="47" t="inlineStr">
        <is>
          <t>Trade</t>
        </is>
      </c>
      <c r="F3" s="47" t="inlineStr">
        <is>
          <t>Crew Size</t>
        </is>
      </c>
      <c r="G3" s="47" t="inlineStr">
        <is>
          <t>Man-Days</t>
        </is>
      </c>
      <c r="H3" s="47" t="inlineStr">
        <is>
          <t>Labor Cost (RM)</t>
        </is>
      </c>
    </row>
    <row r="4">
      <c r="A4" t="inlineStr">
        <is>
          <t>ELEC</t>
        </is>
      </c>
      <c r="B4" t="inlineStr">
        <is>
          <t>IfcLightFixture</t>
        </is>
      </c>
      <c r="C4" s="10" t="n">
        <v>51</v>
      </c>
      <c r="D4" t="inlineStr">
        <is>
          <t>EA</t>
        </is>
      </c>
      <c r="E4" t="inlineStr">
        <is>
          <t>Electrician (Skilled)</t>
        </is>
      </c>
      <c r="F4" t="n">
        <v>2</v>
      </c>
      <c r="G4" s="49" t="n">
        <v>5.1</v>
      </c>
      <c r="H4" s="10" t="n">
        <v>892.4999999999999</v>
      </c>
    </row>
    <row r="5">
      <c r="A5" t="inlineStr">
        <is>
          <t>ELEC</t>
        </is>
      </c>
      <c r="B5" t="inlineStr">
        <is>
          <t>IfcOutlet</t>
        </is>
      </c>
      <c r="C5" s="10" t="n">
        <v>22</v>
      </c>
      <c r="D5" t="inlineStr">
        <is>
          <t>EA</t>
        </is>
      </c>
      <c r="E5" t="inlineStr">
        <is>
          <t>Electrician (Skilled)</t>
        </is>
      </c>
      <c r="F5" t="n">
        <v>2</v>
      </c>
      <c r="G5" s="49" t="n">
        <v>1.76</v>
      </c>
      <c r="H5" s="10" t="n">
        <v>308</v>
      </c>
    </row>
    <row r="6">
      <c r="A6" t="inlineStr">
        <is>
          <t>FP</t>
        </is>
      </c>
      <c r="B6" t="inlineStr">
        <is>
          <t>IfcPipeSegment</t>
        </is>
      </c>
      <c r="C6" s="10" t="n">
        <v>2094.45</v>
      </c>
      <c r="D6" t="inlineStr">
        <is>
          <t>M</t>
        </is>
      </c>
      <c r="E6" t="inlineStr">
        <is>
          <t>Pipefitter (Skilled)</t>
        </is>
      </c>
      <c r="F6" t="n">
        <v>2</v>
      </c>
      <c r="G6" s="49" t="n">
        <v>167.556</v>
      </c>
      <c r="H6" s="10" t="n">
        <v>27646.74</v>
      </c>
    </row>
    <row r="7">
      <c r="A7" t="inlineStr">
        <is>
          <t>STR</t>
        </is>
      </c>
      <c r="B7" t="inlineStr">
        <is>
          <t>IfcSlab</t>
        </is>
      </c>
      <c r="C7" s="10" t="n">
        <v>8608.68</v>
      </c>
      <c r="D7" t="inlineStr">
        <is>
          <t>M2</t>
        </is>
      </c>
      <c r="E7" t="inlineStr">
        <is>
          <t>Concrete Gang (Mixed)</t>
        </is>
      </c>
      <c r="F7" t="n">
        <v>6</v>
      </c>
      <c r="G7" s="49" t="n">
        <v>1475.773714285714</v>
      </c>
      <c r="H7" s="10" t="n">
        <v>213987.1885714286</v>
      </c>
    </row>
    <row r="8">
      <c r="A8" t="inlineStr">
        <is>
          <t>STR</t>
        </is>
      </c>
      <c r="B8" t="inlineStr">
        <is>
          <t>IfcColumn</t>
        </is>
      </c>
      <c r="C8" s="10" t="n">
        <v>336</v>
      </c>
      <c r="D8" t="inlineStr">
        <is>
          <t>M</t>
        </is>
      </c>
      <c r="E8" t="inlineStr">
        <is>
          <t>Steel Erector (Skilled)</t>
        </is>
      </c>
      <c r="F8" t="n">
        <v>4</v>
      </c>
      <c r="G8" s="49" t="n">
        <v>224</v>
      </c>
      <c r="H8" s="10" t="n">
        <v>43680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35" customWidth="1" min="3" max="3"/>
    <col width="15" customWidth="1" min="4" max="4"/>
    <col width="16" customWidth="1" min="5" max="5"/>
    <col width="18" customWidth="1" min="6" max="6"/>
  </cols>
  <sheetData>
    <row r="1" ht="25" customHeight="1">
      <c r="A1" s="50" t="inlineStr">
        <is>
          <t>EQUIPMENT / PLANT HIRE SUMMARY</t>
        </is>
      </c>
    </row>
    <row r="3">
      <c r="A3" s="47" t="inlineStr">
        <is>
          <t>Discipline</t>
        </is>
      </c>
      <c r="B3" s="47" t="inlineStr">
        <is>
          <t>IFC Class</t>
        </is>
      </c>
      <c r="C3" s="47" t="inlineStr">
        <is>
          <t>Equipment</t>
        </is>
      </c>
      <c r="D3" s="47" t="inlineStr">
        <is>
          <t>Duration (days)</t>
        </is>
      </c>
      <c r="E3" s="47" t="inlineStr">
        <is>
          <t>Rate/Day (RM)</t>
        </is>
      </c>
      <c r="F3" s="47" t="inlineStr">
        <is>
          <t>Total (RM)</t>
        </is>
      </c>
    </row>
    <row r="4">
      <c r="A4" t="inlineStr">
        <is>
          <t>STR</t>
        </is>
      </c>
      <c r="B4" t="inlineStr">
        <is>
          <t>IfcSlab</t>
        </is>
      </c>
      <c r="C4" t="inlineStr">
        <is>
          <t>Concrete Pump Truck</t>
        </is>
      </c>
      <c r="D4" s="49" t="n">
        <v>73.78868571428571</v>
      </c>
      <c r="E4" s="10" t="n">
        <v>950</v>
      </c>
      <c r="F4" s="10" t="n">
        <v>70099.25142857141</v>
      </c>
    </row>
    <row r="5">
      <c r="A5" t="inlineStr">
        <is>
          <t>STR</t>
        </is>
      </c>
      <c r="B5" t="inlineStr">
        <is>
          <t>IfcColumn</t>
        </is>
      </c>
      <c r="C5" t="inlineStr">
        <is>
          <t>Mobile Crane 20 Tonne</t>
        </is>
      </c>
      <c r="D5" s="49" t="n">
        <v>28</v>
      </c>
      <c r="E5" s="10" t="n">
        <v>1850</v>
      </c>
      <c r="F5" s="10" t="n">
        <v>51800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2026-02-06T15:04:27Z</dcterms:created>
  <dcterms:modified xmlns:dcterms="http://purl.org/dc/terms/" xmlns:xsi="http://www.w3.org/2001/XMLSchema-instance" xsi:type="dcterms:W3CDTF">2026-02-06T15:04:27Z</dcterms:modified>
</cp:coreProperties>
</file>